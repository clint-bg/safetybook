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intguymon/Library/CloudStorage/Box-Box/ChemE-CGuymon/Projects/SafetyBook/"/>
    </mc:Choice>
  </mc:AlternateContent>
  <xr:revisionPtr revIDLastSave="0" documentId="13_ncr:1_{63786285-C5BB-CB4D-B7B0-DC893F039E7B}" xr6:coauthVersionLast="47" xr6:coauthVersionMax="47" xr10:uidLastSave="{00000000-0000-0000-0000-000000000000}"/>
  <bookViews>
    <workbookView xWindow="680" yWindow="640" windowWidth="28040" windowHeight="17360" activeTab="1" xr2:uid="{A78AD5D9-BCEB-E942-974D-DD8A076598F8}"/>
  </bookViews>
  <sheets>
    <sheet name="Driving" sheetId="1" r:id="rId1"/>
    <sheet name="Labor Statistics" sheetId="2" r:id="rId2"/>
    <sheet name="Flying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2" l="1"/>
  <c r="M36" i="1"/>
  <c r="G18" i="2"/>
  <c r="G11" i="2"/>
  <c r="G12" i="2"/>
  <c r="G13" i="2"/>
  <c r="G14" i="2"/>
  <c r="G6" i="2"/>
  <c r="G7" i="2"/>
  <c r="G8" i="2"/>
  <c r="G9" i="2"/>
  <c r="G5" i="2"/>
  <c r="D32" i="2"/>
  <c r="I5" i="2"/>
  <c r="F6" i="2" s="1"/>
  <c r="F7" i="2"/>
  <c r="F8" i="2"/>
  <c r="F9" i="2"/>
  <c r="F11" i="2"/>
  <c r="F12" i="2"/>
  <c r="F13" i="2"/>
  <c r="F14" i="2"/>
  <c r="F5" i="2"/>
  <c r="M35" i="1"/>
  <c r="K40" i="1"/>
  <c r="K39" i="1"/>
  <c r="K38" i="1"/>
  <c r="K37" i="1"/>
  <c r="K36" i="1"/>
  <c r="G56" i="1"/>
  <c r="F56" i="1"/>
  <c r="H56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4" i="1"/>
</calcChain>
</file>

<file path=xl/sharedStrings.xml><?xml version="1.0" encoding="utf-8"?>
<sst xmlns="http://schemas.openxmlformats.org/spreadsheetml/2006/main" count="93" uniqueCount="91">
  <si>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</si>
  <si>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</si>
  <si>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</si>
  <si>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</si>
  <si>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</si>
  <si>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</si>
  <si>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</si>
  <si>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</si>
  <si>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</si>
  <si>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</si>
  <si>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</si>
  <si>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</si>
  <si>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</si>
  <si>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</si>
  <si>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</si>
  <si>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</si>
  <si>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</si>
  <si>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</si>
  <si>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</si>
  <si>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</si>
  <si>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</si>
  <si>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</si>
  <si>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</si>
  <si>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</si>
  <si>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</si>
  <si>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</si>
  <si>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</si>
  <si>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</si>
  <si>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</si>
  <si>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</si>
  <si>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</si>
  <si>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</si>
  <si>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</si>
  <si>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</si>
  <si>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</si>
  <si>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</si>
  <si>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</si>
  <si>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</si>
  <si>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</si>
  <si>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</si>
  <si>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</si>
  <si>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</si>
  <si>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</si>
  <si>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</si>
  <si>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</si>
  <si>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</si>
  <si>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</si>
  <si>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</si>
  <si>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</si>
  <si>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</si>
  <si>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U.S. total</t>
  </si>
  <si>
    <t>Alabama</t>
  </si>
  <si>
    <t>Population</t>
  </si>
  <si>
    <t>Vehicle miles traveled (millions)</t>
  </si>
  <si>
    <t>Deaths</t>
  </si>
  <si>
    <t>Deaths per 100,000 population</t>
  </si>
  <si>
    <t>Deaths per 100 million vehicle miles traveled</t>
  </si>
  <si>
    <t>vehicle miles traveled per population</t>
  </si>
  <si>
    <t>Vehicle deaths in 2022</t>
  </si>
  <si>
    <t>table saw injury rate</t>
  </si>
  <si>
    <t>Total recordable cases</t>
  </si>
  <si>
    <t>Year: 2023</t>
  </si>
  <si>
    <t>https://www.bls.gov/iif/latest-numbers.htm</t>
  </si>
  <si>
    <t>https://www.bls.gov/news.release/empsit.a.htm</t>
  </si>
  <si>
    <t>Cases away from work (DAFW)</t>
  </si>
  <si>
    <t>Sprains, strains, tears</t>
  </si>
  <si>
    <t>2021-2022</t>
  </si>
  <si>
    <t>Back injuries</t>
  </si>
  <si>
    <t>slip,trips,falls</t>
  </si>
  <si>
    <t>Fatalaties</t>
  </si>
  <si>
    <t>roadway fatalities</t>
  </si>
  <si>
    <t>flips,trips,falls</t>
  </si>
  <si>
    <t>homicides</t>
  </si>
  <si>
    <t>Total workers</t>
  </si>
  <si>
    <t>Yearly work 5 mins interval</t>
  </si>
  <si>
    <t>By industry</t>
  </si>
  <si>
    <t>Private</t>
  </si>
  <si>
    <t>Natural resources, mining</t>
  </si>
  <si>
    <t>Construction</t>
  </si>
  <si>
    <t>Manufacturing</t>
  </si>
  <si>
    <t>(Chemical manufacturing</t>
  </si>
  <si>
    <t>Trade Transportation, Utilities</t>
  </si>
  <si>
    <t>Information</t>
  </si>
  <si>
    <t>Financial</t>
  </si>
  <si>
    <t>Professional services</t>
  </si>
  <si>
    <t>Education and Health</t>
  </si>
  <si>
    <t>Leisure and hospitality</t>
  </si>
  <si>
    <t>Other</t>
  </si>
  <si>
    <t>Government</t>
  </si>
  <si>
    <t>See other excel sheet</t>
  </si>
  <si>
    <t xml:space="preserve">Total chemical manufacturing workforce: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</si>
</sst>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0.0000"/>
    <numFmt numFmtId="174" formatCode="0.000E+00"/>
  </numFmts>
  <fonts count="3" x14ac:knownFonts="1">
    <font>
      <sz val="12"/>
      <color theme="1"/>
      <name val="Aptos Narrow"/>
      <family val="2"/>
      <scheme val="minor"/>
    </font>
    <font>
      <sz val="10.8"/>
      <color rgb="FF333333"/>
      <name val="Arial"/>
      <family val="2"/>
    </font>
    <font>
      <sz val="10.8"/>
      <color rgb="FF36363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1" fillId="0" borderId="0" xfId="0" applyNumberFormat="1" applyFont="1"/>
    <xf numFmtId="0" fontId="1" fillId="0" borderId="0" xfId="0" applyFont="1"/>
    <xf numFmtId="0" fontId="2" fillId="0" borderId="0" xfId="0" applyFont="1"/>
    <xf numFmtId="11" fontId="0" fillId="0" borderId="0" xfId="0" applyNumberFormat="1"/>
    <xf numFmtId="172" fontId="0" fillId="0" borderId="0" xfId="0" applyNumberFormat="1"/>
    <xf numFmtId="17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60E9-6C34-A94A-9E99-74A3AA98E2F2}">
  <dimension ref="B2:M56"/>
  <sheetViews>
    <sheetView workbookViewId="0">
      <selection activeCell="M37" sqref="M37"/>
    </sheetView>
  </sheetViews>
  <sheetFormatPr baseColWidth="10" defaultRowHeight="16" x14ac:dyDescent="0.2"/>
  <cols>
    <col min="2" max="2" width="19" bestFit="1" customWidth="1"/>
    <col min="3" max="3" width="11.1640625" bestFit="1" customWidth="1"/>
    <col min="4" max="4" width="29.5" bestFit="1" customWidth="1"/>
    <col min="5" max="5" width="7.33203125" bestFit="1" customWidth="1"/>
    <col min="6" max="6" width="28.33203125" bestFit="1" customWidth="1"/>
    <col min="7" max="7" width="40.83203125" bestFit="1" customWidth="1"/>
  </cols>
  <sheetData>
    <row r="2" spans="2:8" x14ac:dyDescent="0.2">
      <c r="B2" t="s">
        <v>58</v>
      </c>
    </row>
    <row r="3" spans="2:8" x14ac:dyDescent="0.2">
      <c r="C3" s="3" t="s">
        <v>52</v>
      </c>
      <c r="D3" s="3" t="s">
        <v>53</v>
      </c>
      <c r="E3" s="3" t="s">
        <v>54</v>
      </c>
      <c r="F3" s="3" t="s">
        <v>55</v>
      </c>
      <c r="G3" s="3" t="s">
        <v>56</v>
      </c>
      <c r="H3" s="3" t="s">
        <v>57</v>
      </c>
    </row>
    <row r="4" spans="2:8" x14ac:dyDescent="0.2">
      <c r="B4" t="s">
        <v>51</v>
      </c>
      <c r="C4" s="1">
        <v>5074296</v>
      </c>
      <c r="D4" s="1">
        <v>71631</v>
      </c>
      <c r="E4" s="2">
        <v>988</v>
      </c>
      <c r="F4" s="2">
        <v>19.5</v>
      </c>
      <c r="G4" s="2">
        <v>1.38</v>
      </c>
      <c r="H4">
        <f>D4*1000000/C4</f>
        <v>14116.440980187203</v>
      </c>
    </row>
    <row r="5" spans="2:8" x14ac:dyDescent="0.2">
      <c r="B5" s="3" t="s">
        <v>0</v>
      </c>
      <c r="C5" s="1">
        <v>733583</v>
      </c>
      <c r="D5" s="1">
        <v>5478</v>
      </c>
      <c r="E5" s="2">
        <v>82</v>
      </c>
      <c r="F5" s="2">
        <v>11.2</v>
      </c>
      <c r="G5" s="2">
        <v>1.5</v>
      </c>
      <c r="H5">
        <f t="shared" ref="H5:H55" si="0">D5*1000000/C5</f>
        <v>7467.4576700932275</v>
      </c>
    </row>
    <row r="6" spans="2:8" x14ac:dyDescent="0.2">
      <c r="B6" s="3" t="s">
        <v>1</v>
      </c>
      <c r="C6" s="1">
        <v>7359197</v>
      </c>
      <c r="D6" s="1">
        <v>76159</v>
      </c>
      <c r="E6" s="1">
        <v>1302</v>
      </c>
      <c r="F6" s="2">
        <v>17.7</v>
      </c>
      <c r="G6" s="2">
        <v>1.71</v>
      </c>
      <c r="H6">
        <f t="shared" si="0"/>
        <v>10348.819307323884</v>
      </c>
    </row>
    <row r="7" spans="2:8" x14ac:dyDescent="0.2">
      <c r="B7" s="3" t="s">
        <v>2</v>
      </c>
      <c r="C7" s="1">
        <v>3045637</v>
      </c>
      <c r="D7" s="1">
        <v>38530</v>
      </c>
      <c r="E7" s="2">
        <v>643</v>
      </c>
      <c r="F7" s="2">
        <v>21.1</v>
      </c>
      <c r="G7" s="2">
        <v>1.67</v>
      </c>
      <c r="H7">
        <f t="shared" si="0"/>
        <v>12650.883870927493</v>
      </c>
    </row>
    <row r="8" spans="2:8" x14ac:dyDescent="0.2">
      <c r="B8" s="3" t="s">
        <v>3</v>
      </c>
      <c r="C8" s="1">
        <v>39029342</v>
      </c>
      <c r="D8" s="1">
        <v>315244</v>
      </c>
      <c r="E8" s="1">
        <v>4428</v>
      </c>
      <c r="F8" s="2">
        <v>11.3</v>
      </c>
      <c r="G8" s="2">
        <v>1.4</v>
      </c>
      <c r="H8">
        <f t="shared" si="0"/>
        <v>8077.102606546634</v>
      </c>
    </row>
    <row r="9" spans="2:8" x14ac:dyDescent="0.2">
      <c r="B9" s="3" t="s">
        <v>4</v>
      </c>
      <c r="C9" s="1">
        <v>5839926</v>
      </c>
      <c r="D9" s="1">
        <v>53935</v>
      </c>
      <c r="E9" s="2">
        <v>764</v>
      </c>
      <c r="F9" s="2">
        <v>13.1</v>
      </c>
      <c r="G9" s="2">
        <v>1.42</v>
      </c>
      <c r="H9">
        <f t="shared" si="0"/>
        <v>9235.5622314392349</v>
      </c>
    </row>
    <row r="10" spans="2:8" x14ac:dyDescent="0.2">
      <c r="B10" s="3" t="s">
        <v>5</v>
      </c>
      <c r="C10" s="1">
        <v>3626205</v>
      </c>
      <c r="D10" s="1">
        <v>29666</v>
      </c>
      <c r="E10" s="2">
        <v>359</v>
      </c>
      <c r="F10" s="2">
        <v>9.9</v>
      </c>
      <c r="G10" s="2">
        <v>1.21</v>
      </c>
      <c r="H10">
        <f t="shared" si="0"/>
        <v>8181.0046591408927</v>
      </c>
    </row>
    <row r="11" spans="2:8" x14ac:dyDescent="0.2">
      <c r="B11" s="3" t="s">
        <v>6</v>
      </c>
      <c r="C11" s="1">
        <v>1018396</v>
      </c>
      <c r="D11" s="1">
        <v>9872</v>
      </c>
      <c r="E11" s="2">
        <v>162</v>
      </c>
      <c r="F11" s="2">
        <v>15.9</v>
      </c>
      <c r="G11" s="2">
        <v>1.64</v>
      </c>
      <c r="H11">
        <f t="shared" si="0"/>
        <v>9693.6751519055451</v>
      </c>
    </row>
    <row r="12" spans="2:8" x14ac:dyDescent="0.2">
      <c r="B12" s="3" t="s">
        <v>7</v>
      </c>
      <c r="C12" s="1">
        <v>671803</v>
      </c>
      <c r="D12" s="1">
        <v>3421</v>
      </c>
      <c r="E12" s="2">
        <v>32</v>
      </c>
      <c r="F12" s="2">
        <v>4.8</v>
      </c>
      <c r="G12" s="2">
        <v>0.94</v>
      </c>
      <c r="H12">
        <f t="shared" si="0"/>
        <v>5092.2666317357916</v>
      </c>
    </row>
    <row r="13" spans="2:8" x14ac:dyDescent="0.2">
      <c r="B13" s="3" t="s">
        <v>8</v>
      </c>
      <c r="C13" s="1">
        <v>22244823</v>
      </c>
      <c r="D13" s="1">
        <v>227757</v>
      </c>
      <c r="E13" s="1">
        <v>3530</v>
      </c>
      <c r="F13" s="2">
        <v>15.9</v>
      </c>
      <c r="G13" s="2">
        <v>1.55</v>
      </c>
      <c r="H13">
        <f t="shared" si="0"/>
        <v>10238.651932631696</v>
      </c>
    </row>
    <row r="14" spans="2:8" x14ac:dyDescent="0.2">
      <c r="B14" s="3" t="s">
        <v>9</v>
      </c>
      <c r="C14" s="1">
        <v>10912876</v>
      </c>
      <c r="D14" s="1">
        <v>128871</v>
      </c>
      <c r="E14" s="1">
        <v>1797</v>
      </c>
      <c r="F14" s="2">
        <v>16.5</v>
      </c>
      <c r="G14" s="2">
        <v>1.39</v>
      </c>
      <c r="H14">
        <f t="shared" si="0"/>
        <v>11809.077643693559</v>
      </c>
    </row>
    <row r="15" spans="2:8" x14ac:dyDescent="0.2">
      <c r="B15" s="3" t="s">
        <v>10</v>
      </c>
      <c r="C15" s="1">
        <v>1440196</v>
      </c>
      <c r="D15" s="1">
        <v>10289</v>
      </c>
      <c r="E15" s="2">
        <v>116</v>
      </c>
      <c r="F15" s="2">
        <v>8.1</v>
      </c>
      <c r="G15" s="2">
        <v>1.1299999999999999</v>
      </c>
      <c r="H15">
        <f t="shared" si="0"/>
        <v>7144.1664884501834</v>
      </c>
    </row>
    <row r="16" spans="2:8" x14ac:dyDescent="0.2">
      <c r="B16" s="3" t="s">
        <v>11</v>
      </c>
      <c r="C16" s="1">
        <v>1939033</v>
      </c>
      <c r="D16" s="1">
        <v>19157</v>
      </c>
      <c r="E16" s="2">
        <v>215</v>
      </c>
      <c r="F16" s="2">
        <v>11.1</v>
      </c>
      <c r="G16" s="2">
        <v>1.1200000000000001</v>
      </c>
      <c r="H16">
        <f t="shared" si="0"/>
        <v>9879.666823617752</v>
      </c>
    </row>
    <row r="17" spans="2:8" x14ac:dyDescent="0.2">
      <c r="B17" s="3" t="s">
        <v>12</v>
      </c>
      <c r="C17" s="1">
        <v>12582032</v>
      </c>
      <c r="D17" s="1">
        <v>103752</v>
      </c>
      <c r="E17" s="1">
        <v>1268</v>
      </c>
      <c r="F17" s="2">
        <v>10.1</v>
      </c>
      <c r="G17" s="2">
        <v>1.22</v>
      </c>
      <c r="H17">
        <f t="shared" si="0"/>
        <v>8246.0448360010523</v>
      </c>
    </row>
    <row r="18" spans="2:8" x14ac:dyDescent="0.2">
      <c r="B18" s="3" t="s">
        <v>13</v>
      </c>
      <c r="C18" s="1">
        <v>6833037</v>
      </c>
      <c r="D18" s="1">
        <v>95684</v>
      </c>
      <c r="E18" s="2">
        <v>949</v>
      </c>
      <c r="F18" s="2">
        <v>13.9</v>
      </c>
      <c r="G18" s="2">
        <v>0.99</v>
      </c>
      <c r="H18">
        <f t="shared" si="0"/>
        <v>14003.143843652537</v>
      </c>
    </row>
    <row r="19" spans="2:8" x14ac:dyDescent="0.2">
      <c r="B19" s="3" t="s">
        <v>14</v>
      </c>
      <c r="C19" s="1">
        <v>3200517</v>
      </c>
      <c r="D19" s="1">
        <v>32712</v>
      </c>
      <c r="E19" s="2">
        <v>338</v>
      </c>
      <c r="F19" s="2">
        <v>10.6</v>
      </c>
      <c r="G19" s="2">
        <v>1.03</v>
      </c>
      <c r="H19">
        <f t="shared" si="0"/>
        <v>10220.848694132854</v>
      </c>
    </row>
    <row r="20" spans="2:8" x14ac:dyDescent="0.2">
      <c r="B20" s="3" t="s">
        <v>15</v>
      </c>
      <c r="C20" s="1">
        <v>2937150</v>
      </c>
      <c r="D20" s="1">
        <v>31334</v>
      </c>
      <c r="E20" s="2">
        <v>410</v>
      </c>
      <c r="F20" s="2">
        <v>14</v>
      </c>
      <c r="G20" s="2">
        <v>1.31</v>
      </c>
      <c r="H20">
        <f t="shared" si="0"/>
        <v>10668.164717498255</v>
      </c>
    </row>
    <row r="21" spans="2:8" x14ac:dyDescent="0.2">
      <c r="B21" s="3" t="s">
        <v>16</v>
      </c>
      <c r="C21" s="1">
        <v>4512310</v>
      </c>
      <c r="D21" s="1">
        <v>48047</v>
      </c>
      <c r="E21" s="2">
        <v>744</v>
      </c>
      <c r="F21" s="2">
        <v>16.5</v>
      </c>
      <c r="G21" s="2">
        <v>1.55</v>
      </c>
      <c r="H21">
        <f t="shared" si="0"/>
        <v>10647.982962163504</v>
      </c>
    </row>
    <row r="22" spans="2:8" x14ac:dyDescent="0.2">
      <c r="B22" s="3" t="s">
        <v>17</v>
      </c>
      <c r="C22" s="1">
        <v>4590241</v>
      </c>
      <c r="D22" s="1">
        <v>56514</v>
      </c>
      <c r="E22" s="2">
        <v>906</v>
      </c>
      <c r="F22" s="2">
        <v>19.7</v>
      </c>
      <c r="G22" s="2">
        <v>1.6</v>
      </c>
      <c r="H22">
        <f t="shared" si="0"/>
        <v>12311.771865573071</v>
      </c>
    </row>
    <row r="23" spans="2:8" x14ac:dyDescent="0.2">
      <c r="B23" s="3" t="s">
        <v>18</v>
      </c>
      <c r="C23" s="1">
        <v>1385340</v>
      </c>
      <c r="D23" s="1">
        <v>14651</v>
      </c>
      <c r="E23" s="2">
        <v>182</v>
      </c>
      <c r="F23" s="2">
        <v>13.1</v>
      </c>
      <c r="G23" s="2">
        <v>1.24</v>
      </c>
      <c r="H23">
        <f t="shared" si="0"/>
        <v>10575.743138868436</v>
      </c>
    </row>
    <row r="24" spans="2:8" x14ac:dyDescent="0.2">
      <c r="B24" s="3" t="s">
        <v>19</v>
      </c>
      <c r="C24" s="1">
        <v>6164660</v>
      </c>
      <c r="D24" s="1">
        <v>56746</v>
      </c>
      <c r="E24" s="2">
        <v>564</v>
      </c>
      <c r="F24" s="2">
        <v>9.1</v>
      </c>
      <c r="G24" s="2">
        <v>0.99</v>
      </c>
      <c r="H24">
        <f t="shared" si="0"/>
        <v>9205.0494268945895</v>
      </c>
    </row>
    <row r="25" spans="2:8" x14ac:dyDescent="0.2">
      <c r="B25" s="3" t="s">
        <v>20</v>
      </c>
      <c r="C25" s="1">
        <v>6981974</v>
      </c>
      <c r="D25" s="1">
        <v>56949</v>
      </c>
      <c r="E25" s="2">
        <v>434</v>
      </c>
      <c r="F25" s="2">
        <v>6.2</v>
      </c>
      <c r="G25" s="2">
        <v>0.76</v>
      </c>
      <c r="H25">
        <f t="shared" si="0"/>
        <v>8156.5757764208229</v>
      </c>
    </row>
    <row r="26" spans="2:8" x14ac:dyDescent="0.2">
      <c r="B26" s="3" t="s">
        <v>21</v>
      </c>
      <c r="C26" s="1">
        <v>10034113</v>
      </c>
      <c r="D26" s="1">
        <v>95901</v>
      </c>
      <c r="E26" s="1">
        <v>1124</v>
      </c>
      <c r="F26" s="2">
        <v>11.2</v>
      </c>
      <c r="G26" s="2">
        <v>1.17</v>
      </c>
      <c r="H26">
        <f t="shared" si="0"/>
        <v>9557.4965121481091</v>
      </c>
    </row>
    <row r="27" spans="2:8" x14ac:dyDescent="0.2">
      <c r="B27" s="3" t="s">
        <v>22</v>
      </c>
      <c r="C27" s="1">
        <v>5717184</v>
      </c>
      <c r="D27" s="1">
        <v>57471</v>
      </c>
      <c r="E27" s="2">
        <v>444</v>
      </c>
      <c r="F27" s="2">
        <v>7.8</v>
      </c>
      <c r="G27" s="2">
        <v>0.77</v>
      </c>
      <c r="H27">
        <f t="shared" si="0"/>
        <v>10052.326460019478</v>
      </c>
    </row>
    <row r="28" spans="2:8" x14ac:dyDescent="0.2">
      <c r="B28" s="3" t="s">
        <v>23</v>
      </c>
      <c r="C28" s="1">
        <v>2940057</v>
      </c>
      <c r="D28" s="1">
        <v>39952</v>
      </c>
      <c r="E28" s="2">
        <v>703</v>
      </c>
      <c r="F28" s="2">
        <v>23.9</v>
      </c>
      <c r="G28" s="2">
        <v>1.76</v>
      </c>
      <c r="H28">
        <f t="shared" si="0"/>
        <v>13588.852188920147</v>
      </c>
    </row>
    <row r="29" spans="2:8" x14ac:dyDescent="0.2">
      <c r="B29" s="3" t="s">
        <v>24</v>
      </c>
      <c r="C29" s="1">
        <v>6177957</v>
      </c>
      <c r="D29" s="1">
        <v>79431</v>
      </c>
      <c r="E29" s="1">
        <v>1057</v>
      </c>
      <c r="F29" s="2">
        <v>17.100000000000001</v>
      </c>
      <c r="G29" s="2">
        <v>1.33</v>
      </c>
      <c r="H29">
        <f t="shared" si="0"/>
        <v>12857.16297475039</v>
      </c>
    </row>
    <row r="30" spans="2:8" x14ac:dyDescent="0.2">
      <c r="B30" s="3" t="s">
        <v>25</v>
      </c>
      <c r="C30" s="1">
        <v>1122867</v>
      </c>
      <c r="D30" s="1">
        <v>13514</v>
      </c>
      <c r="E30" s="2">
        <v>213</v>
      </c>
      <c r="F30" s="2">
        <v>19</v>
      </c>
      <c r="G30" s="2">
        <v>1.58</v>
      </c>
      <c r="H30">
        <f t="shared" si="0"/>
        <v>12035.2633036682</v>
      </c>
    </row>
    <row r="31" spans="2:8" x14ac:dyDescent="0.2">
      <c r="B31" s="3" t="s">
        <v>26</v>
      </c>
      <c r="C31" s="1">
        <v>1967923</v>
      </c>
      <c r="D31" s="1">
        <v>21270</v>
      </c>
      <c r="E31" s="2">
        <v>244</v>
      </c>
      <c r="F31" s="2">
        <v>12.4</v>
      </c>
      <c r="G31" s="2">
        <v>1.1499999999999999</v>
      </c>
      <c r="H31">
        <f t="shared" si="0"/>
        <v>10808.349716935063</v>
      </c>
    </row>
    <row r="32" spans="2:8" x14ac:dyDescent="0.2">
      <c r="B32" s="3" t="s">
        <v>27</v>
      </c>
      <c r="C32" s="1">
        <v>3177772</v>
      </c>
      <c r="D32" s="1">
        <v>27647</v>
      </c>
      <c r="E32" s="2">
        <v>416</v>
      </c>
      <c r="F32" s="2">
        <v>13.1</v>
      </c>
      <c r="G32" s="2">
        <v>1.5</v>
      </c>
      <c r="H32">
        <f t="shared" si="0"/>
        <v>8700.1207135061923</v>
      </c>
    </row>
    <row r="33" spans="2:13" x14ac:dyDescent="0.2">
      <c r="B33" s="3" t="s">
        <v>28</v>
      </c>
      <c r="C33" s="1">
        <v>1395231</v>
      </c>
      <c r="D33" s="1">
        <v>13281</v>
      </c>
      <c r="E33" s="2">
        <v>146</v>
      </c>
      <c r="F33" s="2">
        <v>10.5</v>
      </c>
      <c r="G33" s="2">
        <v>1.1000000000000001</v>
      </c>
      <c r="H33">
        <f t="shared" si="0"/>
        <v>9518.8538672090854</v>
      </c>
    </row>
    <row r="34" spans="2:13" x14ac:dyDescent="0.2">
      <c r="B34" s="3" t="s">
        <v>29</v>
      </c>
      <c r="C34" s="1">
        <v>9261699</v>
      </c>
      <c r="D34" s="1">
        <v>75288</v>
      </c>
      <c r="E34" s="2">
        <v>685</v>
      </c>
      <c r="F34" s="2">
        <v>7.4</v>
      </c>
      <c r="G34" s="2">
        <v>0.91</v>
      </c>
      <c r="H34">
        <f t="shared" si="0"/>
        <v>8128.9620835226888</v>
      </c>
      <c r="M34" t="s">
        <v>59</v>
      </c>
    </row>
    <row r="35" spans="2:13" x14ac:dyDescent="0.2">
      <c r="B35" s="3" t="s">
        <v>30</v>
      </c>
      <c r="C35" s="1">
        <v>2113344</v>
      </c>
      <c r="D35" s="1">
        <v>26831</v>
      </c>
      <c r="E35" s="2">
        <v>466</v>
      </c>
      <c r="F35" s="2">
        <v>22.1</v>
      </c>
      <c r="G35" s="2">
        <v>1.74</v>
      </c>
      <c r="H35">
        <f t="shared" si="0"/>
        <v>12695.992701614125</v>
      </c>
      <c r="M35">
        <f>30000/(9500000*20)</f>
        <v>1.5789473684210527E-4</v>
      </c>
    </row>
    <row r="36" spans="2:13" x14ac:dyDescent="0.2">
      <c r="B36" s="3" t="s">
        <v>31</v>
      </c>
      <c r="C36" s="1">
        <v>19677151</v>
      </c>
      <c r="D36" s="1">
        <v>115382</v>
      </c>
      <c r="E36" s="1">
        <v>1175</v>
      </c>
      <c r="F36" s="2">
        <v>6</v>
      </c>
      <c r="G36" s="2">
        <v>1.02</v>
      </c>
      <c r="H36">
        <f t="shared" si="0"/>
        <v>5863.7553780016224</v>
      </c>
      <c r="K36">
        <f>2000/40</f>
        <v>50</v>
      </c>
      <c r="M36">
        <f>30000/(9500000)</f>
        <v>3.1578947368421052E-3</v>
      </c>
    </row>
    <row r="37" spans="2:13" x14ac:dyDescent="0.2">
      <c r="B37" s="3" t="s">
        <v>32</v>
      </c>
      <c r="C37" s="1">
        <v>10698973</v>
      </c>
      <c r="D37" s="1">
        <v>119381</v>
      </c>
      <c r="E37" s="1">
        <v>1630</v>
      </c>
      <c r="F37" s="2">
        <v>15.2</v>
      </c>
      <c r="G37" s="2">
        <v>1.37</v>
      </c>
      <c r="H37">
        <f t="shared" si="0"/>
        <v>11158.173779857188</v>
      </c>
      <c r="K37">
        <f>K36*5</f>
        <v>250</v>
      </c>
    </row>
    <row r="38" spans="2:13" x14ac:dyDescent="0.2">
      <c r="B38" s="3" t="s">
        <v>33</v>
      </c>
      <c r="C38" s="1">
        <v>779261</v>
      </c>
      <c r="D38" s="1">
        <v>9180</v>
      </c>
      <c r="E38" s="2">
        <v>98</v>
      </c>
      <c r="F38" s="2">
        <v>12.6</v>
      </c>
      <c r="G38" s="2">
        <v>1.07</v>
      </c>
      <c r="H38">
        <f t="shared" si="0"/>
        <v>11780.391935436266</v>
      </c>
      <c r="K38">
        <f>K37*70</f>
        <v>17500</v>
      </c>
    </row>
    <row r="39" spans="2:13" x14ac:dyDescent="0.2">
      <c r="B39" s="3" t="s">
        <v>34</v>
      </c>
      <c r="C39" s="1">
        <v>11756058</v>
      </c>
      <c r="D39" s="1">
        <v>110578</v>
      </c>
      <c r="E39" s="1">
        <v>1275</v>
      </c>
      <c r="F39" s="2">
        <v>10.8</v>
      </c>
      <c r="G39" s="2">
        <v>1.1499999999999999</v>
      </c>
      <c r="H39">
        <f t="shared" si="0"/>
        <v>9406.0441008372018</v>
      </c>
      <c r="K39">
        <f>1.3/1000000*K38</f>
        <v>2.2749999999999999E-2</v>
      </c>
    </row>
    <row r="40" spans="2:13" x14ac:dyDescent="0.2">
      <c r="B40" s="3" t="s">
        <v>35</v>
      </c>
      <c r="C40" s="1">
        <v>4019800</v>
      </c>
      <c r="D40" s="1">
        <v>44566</v>
      </c>
      <c r="E40" s="2">
        <v>710</v>
      </c>
      <c r="F40" s="2">
        <v>17.7</v>
      </c>
      <c r="G40" s="2">
        <v>1.59</v>
      </c>
      <c r="H40">
        <f t="shared" si="0"/>
        <v>11086.621224936564</v>
      </c>
      <c r="K40">
        <f>1-EXP(-1.3/1000000*K38)</f>
        <v>2.2493170063781931E-2</v>
      </c>
    </row>
    <row r="41" spans="2:13" x14ac:dyDescent="0.2">
      <c r="B41" s="3" t="s">
        <v>36</v>
      </c>
      <c r="C41" s="1">
        <v>4240137</v>
      </c>
      <c r="D41" s="1">
        <v>36576</v>
      </c>
      <c r="E41" s="2">
        <v>601</v>
      </c>
      <c r="F41" s="2">
        <v>14.2</v>
      </c>
      <c r="G41" s="2">
        <v>1.64</v>
      </c>
      <c r="H41">
        <f t="shared" si="0"/>
        <v>8626.1363724804178</v>
      </c>
    </row>
    <row r="42" spans="2:13" x14ac:dyDescent="0.2">
      <c r="B42" s="3" t="s">
        <v>37</v>
      </c>
      <c r="C42" s="1">
        <v>12972008</v>
      </c>
      <c r="D42" s="1">
        <v>99912</v>
      </c>
      <c r="E42" s="1">
        <v>1179</v>
      </c>
      <c r="F42" s="2">
        <v>9.1</v>
      </c>
      <c r="G42" s="2">
        <v>1.18</v>
      </c>
      <c r="H42">
        <f t="shared" si="0"/>
        <v>7702.1229095757571</v>
      </c>
    </row>
    <row r="43" spans="2:13" x14ac:dyDescent="0.2">
      <c r="B43" s="3" t="s">
        <v>38</v>
      </c>
      <c r="C43" s="1">
        <v>1093734</v>
      </c>
      <c r="D43" s="1">
        <v>7531</v>
      </c>
      <c r="E43" s="2">
        <v>52</v>
      </c>
      <c r="F43" s="2">
        <v>4.8</v>
      </c>
      <c r="G43" s="2">
        <v>0.69</v>
      </c>
      <c r="H43">
        <f t="shared" si="0"/>
        <v>6885.5864405787879</v>
      </c>
    </row>
    <row r="44" spans="2:13" x14ac:dyDescent="0.2">
      <c r="B44" s="3" t="s">
        <v>39</v>
      </c>
      <c r="C44" s="1">
        <v>5282634</v>
      </c>
      <c r="D44" s="1">
        <v>58988</v>
      </c>
      <c r="E44" s="1">
        <v>1094</v>
      </c>
      <c r="F44" s="2">
        <v>20.7</v>
      </c>
      <c r="G44" s="2">
        <v>1.85</v>
      </c>
      <c r="H44">
        <f t="shared" si="0"/>
        <v>11166.399186466448</v>
      </c>
    </row>
    <row r="45" spans="2:13" x14ac:dyDescent="0.2">
      <c r="B45" s="3" t="s">
        <v>40</v>
      </c>
      <c r="C45" s="1">
        <v>909824</v>
      </c>
      <c r="D45" s="1">
        <v>10170</v>
      </c>
      <c r="E45" s="2">
        <v>137</v>
      </c>
      <c r="F45" s="2">
        <v>15.1</v>
      </c>
      <c r="G45" s="2">
        <v>1.35</v>
      </c>
      <c r="H45">
        <f t="shared" si="0"/>
        <v>11177.986072031514</v>
      </c>
    </row>
    <row r="46" spans="2:13" x14ac:dyDescent="0.2">
      <c r="B46" s="3" t="s">
        <v>41</v>
      </c>
      <c r="C46" s="1">
        <v>7051339</v>
      </c>
      <c r="D46" s="1">
        <v>83219</v>
      </c>
      <c r="E46" s="1">
        <v>1314</v>
      </c>
      <c r="F46" s="2">
        <v>18.600000000000001</v>
      </c>
      <c r="G46" s="2">
        <v>1.58</v>
      </c>
      <c r="H46">
        <f t="shared" si="0"/>
        <v>11801.871956517762</v>
      </c>
    </row>
    <row r="47" spans="2:13" x14ac:dyDescent="0.2">
      <c r="B47" s="3" t="s">
        <v>42</v>
      </c>
      <c r="C47" s="1">
        <v>30029572</v>
      </c>
      <c r="D47" s="1">
        <v>290890</v>
      </c>
      <c r="E47" s="1">
        <v>4408</v>
      </c>
      <c r="F47" s="2">
        <v>14.7</v>
      </c>
      <c r="G47" s="2">
        <v>1.52</v>
      </c>
      <c r="H47">
        <f t="shared" si="0"/>
        <v>9686.7847467156716</v>
      </c>
    </row>
    <row r="48" spans="2:13" x14ac:dyDescent="0.2">
      <c r="B48" s="3" t="s">
        <v>43</v>
      </c>
      <c r="C48" s="1">
        <v>3380800</v>
      </c>
      <c r="D48" s="1">
        <v>34336</v>
      </c>
      <c r="E48" s="2">
        <v>319</v>
      </c>
      <c r="F48" s="2">
        <v>9.4</v>
      </c>
      <c r="G48" s="2">
        <v>0.93</v>
      </c>
      <c r="H48">
        <f t="shared" si="0"/>
        <v>10156.176053005205</v>
      </c>
    </row>
    <row r="49" spans="2:8" x14ac:dyDescent="0.2">
      <c r="B49" s="3" t="s">
        <v>44</v>
      </c>
      <c r="C49" s="1">
        <v>647064</v>
      </c>
      <c r="D49" s="1">
        <v>7128</v>
      </c>
      <c r="E49" s="2">
        <v>76</v>
      </c>
      <c r="F49" s="2">
        <v>11.7</v>
      </c>
      <c r="G49" s="2">
        <v>1.07</v>
      </c>
      <c r="H49">
        <f t="shared" si="0"/>
        <v>11015.911872705019</v>
      </c>
    </row>
    <row r="50" spans="2:8" x14ac:dyDescent="0.2">
      <c r="B50" s="3" t="s">
        <v>45</v>
      </c>
      <c r="C50" s="1">
        <v>8683619</v>
      </c>
      <c r="D50" s="1">
        <v>82083</v>
      </c>
      <c r="E50" s="1">
        <v>1008</v>
      </c>
      <c r="F50" s="2">
        <v>11.6</v>
      </c>
      <c r="G50" s="2">
        <v>1.23</v>
      </c>
      <c r="H50">
        <f t="shared" si="0"/>
        <v>9452.6256852125825</v>
      </c>
    </row>
    <row r="51" spans="2:8" x14ac:dyDescent="0.2">
      <c r="B51" s="3" t="s">
        <v>46</v>
      </c>
      <c r="C51" s="1">
        <v>7785786</v>
      </c>
      <c r="D51" s="1">
        <v>58483</v>
      </c>
      <c r="E51" s="2">
        <v>733</v>
      </c>
      <c r="F51" s="2">
        <v>9.4</v>
      </c>
      <c r="G51" s="2">
        <v>1.25</v>
      </c>
      <c r="H51">
        <f t="shared" si="0"/>
        <v>7511.5087930749705</v>
      </c>
    </row>
    <row r="52" spans="2:8" x14ac:dyDescent="0.2">
      <c r="B52" s="3" t="s">
        <v>47</v>
      </c>
      <c r="C52" s="1">
        <v>1775156</v>
      </c>
      <c r="D52" s="1">
        <v>15312</v>
      </c>
      <c r="E52" s="2">
        <v>264</v>
      </c>
      <c r="F52" s="2">
        <v>14.9</v>
      </c>
      <c r="G52" s="2">
        <v>1.72</v>
      </c>
      <c r="H52">
        <f t="shared" si="0"/>
        <v>8625.7207817228464</v>
      </c>
    </row>
    <row r="53" spans="2:8" x14ac:dyDescent="0.2">
      <c r="B53" s="3" t="s">
        <v>48</v>
      </c>
      <c r="C53" s="1">
        <v>5892539</v>
      </c>
      <c r="D53" s="1">
        <v>66167</v>
      </c>
      <c r="E53" s="2">
        <v>596</v>
      </c>
      <c r="F53" s="2">
        <v>10.1</v>
      </c>
      <c r="G53" s="2">
        <v>0.9</v>
      </c>
      <c r="H53">
        <f t="shared" si="0"/>
        <v>11228.94562089449</v>
      </c>
    </row>
    <row r="54" spans="2:8" x14ac:dyDescent="0.2">
      <c r="B54" s="3" t="s">
        <v>49</v>
      </c>
      <c r="C54" s="1">
        <v>581381</v>
      </c>
      <c r="D54" s="1">
        <v>9324</v>
      </c>
      <c r="E54" s="2">
        <v>134</v>
      </c>
      <c r="F54" s="2">
        <v>23</v>
      </c>
      <c r="G54" s="2">
        <v>1.44</v>
      </c>
      <c r="H54">
        <f t="shared" si="0"/>
        <v>16037.675809838987</v>
      </c>
    </row>
    <row r="55" spans="2:8" x14ac:dyDescent="0.2">
      <c r="B55" s="3" t="s">
        <v>50</v>
      </c>
      <c r="C55" s="1">
        <v>333287557</v>
      </c>
      <c r="D55" s="1">
        <v>3196191</v>
      </c>
      <c r="E55" s="1">
        <v>42514</v>
      </c>
      <c r="F55" s="2">
        <v>12.8</v>
      </c>
      <c r="G55" s="2">
        <v>1.33</v>
      </c>
      <c r="H55">
        <f t="shared" si="0"/>
        <v>9589.8899699996909</v>
      </c>
    </row>
    <row r="56" spans="2:8" x14ac:dyDescent="0.2">
      <c r="F56">
        <f>AVERAGE(F3:F55)</f>
        <v>13.38846153846154</v>
      </c>
      <c r="G56">
        <f>AVERAGE(G4:G55)</f>
        <v>1.3007692307692307</v>
      </c>
      <c r="H56">
        <f>AVERAGE(H3:H55)</f>
        <v>10112.957893674629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DF95F-A6CB-9D48-A999-799629D3FEC7}">
  <dimension ref="B2:M32"/>
  <sheetViews>
    <sheetView tabSelected="1" workbookViewId="0">
      <selection activeCell="I11" sqref="I11"/>
    </sheetView>
  </sheetViews>
  <sheetFormatPr baseColWidth="10" defaultRowHeight="16" x14ac:dyDescent="0.2"/>
  <sheetData>
    <row r="2" spans="2:10" x14ac:dyDescent="0.2">
      <c r="B2" t="s">
        <v>61</v>
      </c>
      <c r="D2" t="s">
        <v>62</v>
      </c>
    </row>
    <row r="3" spans="2:10" x14ac:dyDescent="0.2">
      <c r="D3" t="s">
        <v>63</v>
      </c>
    </row>
    <row r="4" spans="2:10" x14ac:dyDescent="0.2">
      <c r="H4" t="s">
        <v>73</v>
      </c>
      <c r="I4" s="4">
        <v>268000000</v>
      </c>
      <c r="J4">
        <v>2024</v>
      </c>
    </row>
    <row r="5" spans="2:10" x14ac:dyDescent="0.2">
      <c r="B5" t="s">
        <v>60</v>
      </c>
      <c r="D5" s="4">
        <v>2569000</v>
      </c>
      <c r="F5" s="4">
        <f>D5/$I$4/$I$5</f>
        <v>3.9940920398009946E-7</v>
      </c>
      <c r="G5" s="5">
        <f>D5/$I$4</f>
        <v>9.5858208955223873E-3</v>
      </c>
      <c r="H5" t="s">
        <v>74</v>
      </c>
      <c r="I5">
        <f>2000*6*2</f>
        <v>24000</v>
      </c>
    </row>
    <row r="6" spans="2:10" x14ac:dyDescent="0.2">
      <c r="B6" t="s">
        <v>64</v>
      </c>
      <c r="D6" s="4">
        <v>946000</v>
      </c>
      <c r="F6" s="4">
        <f t="shared" ref="F6:F14" si="0">D6/$I$4/$I$5</f>
        <v>1.470771144278607E-7</v>
      </c>
      <c r="G6" s="5">
        <f t="shared" ref="G6:G14" si="1">D6/$I$4</f>
        <v>3.5298507462686569E-3</v>
      </c>
    </row>
    <row r="7" spans="2:10" x14ac:dyDescent="0.2">
      <c r="B7" t="s">
        <v>65</v>
      </c>
      <c r="D7" s="4">
        <v>548000</v>
      </c>
      <c r="E7" t="s">
        <v>66</v>
      </c>
      <c r="F7" s="4">
        <f t="shared" si="0"/>
        <v>8.5199004975124388E-8</v>
      </c>
      <c r="G7" s="5">
        <f t="shared" si="1"/>
        <v>2.0447761194029852E-3</v>
      </c>
    </row>
    <row r="8" spans="2:10" x14ac:dyDescent="0.2">
      <c r="B8" t="s">
        <v>67</v>
      </c>
      <c r="D8" s="4">
        <v>250000</v>
      </c>
      <c r="E8" t="s">
        <v>66</v>
      </c>
      <c r="F8" s="4">
        <f t="shared" si="0"/>
        <v>3.8868159203980101E-8</v>
      </c>
      <c r="G8" s="5">
        <f t="shared" si="1"/>
        <v>9.3283582089552237E-4</v>
      </c>
    </row>
    <row r="9" spans="2:10" x14ac:dyDescent="0.2">
      <c r="B9" t="s">
        <v>68</v>
      </c>
      <c r="D9" s="4">
        <v>450000</v>
      </c>
      <c r="E9" t="s">
        <v>66</v>
      </c>
      <c r="F9" s="4">
        <f t="shared" si="0"/>
        <v>6.9962686567164184E-8</v>
      </c>
      <c r="G9" s="5">
        <f t="shared" si="1"/>
        <v>1.6791044776119403E-3</v>
      </c>
    </row>
    <row r="10" spans="2:10" x14ac:dyDescent="0.2">
      <c r="F10" s="4"/>
      <c r="G10" s="4"/>
    </row>
    <row r="11" spans="2:10" x14ac:dyDescent="0.2">
      <c r="B11" t="s">
        <v>69</v>
      </c>
      <c r="D11" s="4">
        <v>5283</v>
      </c>
      <c r="F11" s="4">
        <f t="shared" si="0"/>
        <v>8.2136194029850746E-10</v>
      </c>
      <c r="G11" s="4">
        <f t="shared" si="1"/>
        <v>1.9712686567164178E-5</v>
      </c>
    </row>
    <row r="12" spans="2:10" x14ac:dyDescent="0.2">
      <c r="B12" t="s">
        <v>70</v>
      </c>
      <c r="D12" s="4">
        <v>1252</v>
      </c>
      <c r="F12" s="4">
        <f t="shared" si="0"/>
        <v>1.9465174129353232E-10</v>
      </c>
      <c r="G12" s="4">
        <f t="shared" si="1"/>
        <v>4.6716417910447758E-6</v>
      </c>
    </row>
    <row r="13" spans="2:10" x14ac:dyDescent="0.2">
      <c r="B13" t="s">
        <v>71</v>
      </c>
      <c r="D13" s="4">
        <v>885</v>
      </c>
      <c r="F13" s="4">
        <f t="shared" si="0"/>
        <v>1.3759328358208956E-10</v>
      </c>
      <c r="G13" s="4">
        <f t="shared" si="1"/>
        <v>3.3022388059701491E-6</v>
      </c>
    </row>
    <row r="14" spans="2:10" x14ac:dyDescent="0.2">
      <c r="B14" t="s">
        <v>72</v>
      </c>
      <c r="D14" s="4">
        <v>458</v>
      </c>
      <c r="F14" s="4">
        <f t="shared" si="0"/>
        <v>7.1206467661691539E-11</v>
      </c>
      <c r="G14" s="4">
        <f t="shared" si="1"/>
        <v>1.708955223880597E-6</v>
      </c>
    </row>
    <row r="15" spans="2:10" x14ac:dyDescent="0.2">
      <c r="D15" s="4"/>
    </row>
    <row r="18" spans="2:13" x14ac:dyDescent="0.2">
      <c r="B18" t="s">
        <v>75</v>
      </c>
      <c r="D18">
        <v>5486</v>
      </c>
      <c r="E18">
        <v>2022</v>
      </c>
      <c r="G18" s="6">
        <f>D18/$I$4</f>
        <v>2.0470149253731345E-5</v>
      </c>
    </row>
    <row r="19" spans="2:13" x14ac:dyDescent="0.2">
      <c r="B19" t="s">
        <v>76</v>
      </c>
      <c r="D19">
        <v>5005</v>
      </c>
      <c r="G19" s="4"/>
    </row>
    <row r="20" spans="2:13" x14ac:dyDescent="0.2">
      <c r="B20" t="s">
        <v>77</v>
      </c>
      <c r="D20">
        <v>530</v>
      </c>
      <c r="G20" s="4"/>
    </row>
    <row r="21" spans="2:13" x14ac:dyDescent="0.2">
      <c r="B21" t="s">
        <v>78</v>
      </c>
      <c r="D21">
        <v>1069</v>
      </c>
      <c r="G21" s="4"/>
    </row>
    <row r="22" spans="2:13" x14ac:dyDescent="0.2">
      <c r="B22" t="s">
        <v>79</v>
      </c>
      <c r="D22">
        <v>404</v>
      </c>
      <c r="G22" s="4"/>
    </row>
    <row r="23" spans="2:13" x14ac:dyDescent="0.2">
      <c r="B23" t="s">
        <v>80</v>
      </c>
      <c r="D23">
        <v>13</v>
      </c>
      <c r="G23" s="4">
        <f>D23/M23</f>
        <v>2.3423423423423425E-5</v>
      </c>
      <c r="I23" t="s">
        <v>90</v>
      </c>
      <c r="M23">
        <v>555000</v>
      </c>
    </row>
    <row r="24" spans="2:13" x14ac:dyDescent="0.2">
      <c r="B24" t="s">
        <v>81</v>
      </c>
      <c r="D24">
        <v>1561</v>
      </c>
      <c r="G24" s="4"/>
    </row>
    <row r="25" spans="2:13" x14ac:dyDescent="0.2">
      <c r="B25" t="s">
        <v>82</v>
      </c>
      <c r="D25">
        <v>48</v>
      </c>
      <c r="G25" s="4"/>
    </row>
    <row r="26" spans="2:13" x14ac:dyDescent="0.2">
      <c r="B26" t="s">
        <v>83</v>
      </c>
      <c r="D26">
        <v>100</v>
      </c>
      <c r="G26" s="4"/>
    </row>
    <row r="27" spans="2:13" x14ac:dyDescent="0.2">
      <c r="B27" t="s">
        <v>84</v>
      </c>
      <c r="D27">
        <v>598</v>
      </c>
      <c r="G27" s="4"/>
    </row>
    <row r="28" spans="2:13" x14ac:dyDescent="0.2">
      <c r="B28" t="s">
        <v>85</v>
      </c>
      <c r="D28">
        <v>178</v>
      </c>
      <c r="G28" s="4"/>
    </row>
    <row r="29" spans="2:13" x14ac:dyDescent="0.2">
      <c r="B29" t="s">
        <v>86</v>
      </c>
      <c r="D29">
        <v>306</v>
      </c>
      <c r="G29" s="4"/>
    </row>
    <row r="30" spans="2:13" x14ac:dyDescent="0.2">
      <c r="B30" t="s">
        <v>87</v>
      </c>
      <c r="D30">
        <v>200</v>
      </c>
      <c r="G30" s="4"/>
    </row>
    <row r="31" spans="2:13" x14ac:dyDescent="0.2">
      <c r="B31" t="s">
        <v>88</v>
      </c>
      <c r="D31">
        <v>481</v>
      </c>
      <c r="G31" s="4"/>
    </row>
    <row r="32" spans="2:13" x14ac:dyDescent="0.2">
      <c r="D32">
        <f>SUM(D20:D31)</f>
        <v>5488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582D1-728D-A342-92C6-856A328B359F}">
  <dimension ref="C8"/>
  <sheetViews>
    <sheetView workbookViewId="0">
      <selection activeCell="C9" sqref="C9"/>
    </sheetView>
  </sheetViews>
  <sheetFormatPr baseColWidth="10" defaultRowHeight="16" x14ac:dyDescent="0.2"/>
  <sheetData>
    <row r="8" spans="3:3" x14ac:dyDescent="0.2">
      <c r="C8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Driving</vt:lpstr>
      <vt:lpstr>Labor Statistics</vt:lpstr>
      <vt:lpstr>Flying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Clint Guymon</dc:creator>
  <cp:lastModifiedBy>Clint Guymon</cp:lastModifiedBy>
  <dcterms:created xsi:type="dcterms:W3CDTF">2025-05-19T15:53:39Z</dcterms:created>
  <dcterms:modified xsi:type="dcterms:W3CDTF">2025-05-20T15:57:54Z</dcterms:modified>
</cp:coreProperties>
</file>